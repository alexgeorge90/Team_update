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s" sheetId="1" state="visible" r:id="rId1"/>
    <sheet name="Weekly Updates" sheetId="2" state="visible" r:id="rId2"/>
    <sheet name="Allocations" sheetId="3" state="visible" r:id="rId3"/>
    <sheet name="Looku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B6CB0"/>
        <bgColor rgb="002B6CB0"/>
      </patternFill>
    </fill>
    <fill>
      <patternFill patternType="solid">
        <fgColor rgb="00718096"/>
        <bgColor rgb="00718096"/>
      </patternFill>
    </fill>
    <fill>
      <patternFill patternType="solid">
        <fgColor rgb="00F0F4F8"/>
        <bgColor rgb="00F0F4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0" fillId="0" borderId="0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6CB0"/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35" customWidth="1" min="3" max="3"/>
    <col width="25" customWidth="1" min="4" max="4"/>
    <col width="14" customWidth="1" min="5" max="5"/>
    <col width="19" customWidth="1" min="6" max="6"/>
    <col width="12" customWidth="1" min="7" max="7"/>
  </cols>
  <sheetData>
    <row r="1">
      <c r="A1" s="1" t="inlineStr">
        <is>
          <t>Task ID</t>
        </is>
      </c>
      <c r="B1" s="1" t="inlineStr">
        <is>
          <t>Task Name</t>
        </is>
      </c>
      <c r="C1" s="1" t="inlineStr">
        <is>
          <t>Description</t>
        </is>
      </c>
      <c r="D1" s="1" t="inlineStr">
        <is>
          <t>Team Members</t>
        </is>
      </c>
      <c r="E1" s="1" t="inlineStr">
        <is>
          <t>Start Date</t>
        </is>
      </c>
      <c r="F1" s="1" t="inlineStr">
        <is>
          <t>Target End Date</t>
        </is>
      </c>
      <c r="G1" s="1" t="inlineStr">
        <is>
          <t>Status</t>
        </is>
      </c>
    </row>
    <row r="2">
      <c r="A2" s="2">
        <f>IF(B2="","","T"&amp;TEXT(ROW()-1,"000"))</f>
        <v/>
      </c>
      <c r="B2" s="3" t="inlineStr">
        <is>
          <t>API Gateway Build</t>
        </is>
      </c>
      <c r="C2" s="3" t="inlineStr">
        <is>
          <t>Build and deploy API gateway with rate limiting and auth</t>
        </is>
      </c>
      <c r="D2" s="3" t="inlineStr">
        <is>
          <t>Alex; Srikanth</t>
        </is>
      </c>
      <c r="E2" s="4" t="n">
        <v>46037</v>
      </c>
      <c r="F2" s="4" t="n">
        <v>46203</v>
      </c>
      <c r="G2" s="2">
        <f>IF(B2="","",IFERROR(LOOKUP(2,1/('Weekly Updates'!$C$2:$C$501=B2),'Weekly Updates'!$D$2:$D$501),"Not Started"))</f>
        <v/>
      </c>
    </row>
    <row r="3">
      <c r="A3" s="2">
        <f>IF(B3="","","T"&amp;TEXT(ROW()-1,"000"))</f>
        <v/>
      </c>
      <c r="B3" s="3" t="inlineStr">
        <is>
          <t>Dashboard UI</t>
        </is>
      </c>
      <c r="C3" s="3" t="inlineStr">
        <is>
          <t>Frontend dashboard with charts and filters</t>
        </is>
      </c>
      <c r="D3" s="3" t="inlineStr">
        <is>
          <t>Alex; Enith</t>
        </is>
      </c>
      <c r="E3" s="4" t="n">
        <v>46082</v>
      </c>
      <c r="F3" s="4" t="n">
        <v>46234</v>
      </c>
      <c r="G3" s="2">
        <f>IF(B3="","",IFERROR(LOOKUP(2,1/('Weekly Updates'!$C$2:$C$501=B3),'Weekly Updates'!$D$2:$D$501),"Not Started"))</f>
        <v/>
      </c>
    </row>
    <row r="4">
      <c r="A4" s="2">
        <f>IF(B4="","","T"&amp;TEXT(ROW()-1,"000"))</f>
        <v/>
      </c>
      <c r="B4" s="3" t="inlineStr">
        <is>
          <t>Auth Module</t>
        </is>
      </c>
      <c r="C4" s="3" t="inlineStr">
        <is>
          <t>OIDC-based authentication module</t>
        </is>
      </c>
      <c r="D4" s="3" t="inlineStr">
        <is>
          <t>Srikanth</t>
        </is>
      </c>
      <c r="E4" s="4" t="n">
        <v>46096</v>
      </c>
      <c r="F4" s="4" t="n">
        <v>46173</v>
      </c>
      <c r="G4" s="2">
        <f>IF(B4="","",IFERROR(LOOKUP(2,1/('Weekly Updates'!$C$2:$C$501=B4),'Weekly Updates'!$D$2:$D$501),"Not Started"))</f>
        <v/>
      </c>
    </row>
    <row r="5">
      <c r="A5" s="2">
        <f>IF(B5="","","T"&amp;TEXT(ROW()-1,"000"))</f>
        <v/>
      </c>
      <c r="B5" s="3" t="inlineStr">
        <is>
          <t>Perf Testing</t>
        </is>
      </c>
      <c r="C5" s="3" t="inlineStr">
        <is>
          <t>Load and stress testing across all services</t>
        </is>
      </c>
      <c r="D5" s="3" t="inlineStr">
        <is>
          <t>Alex; Srikanth; Enith</t>
        </is>
      </c>
      <c r="E5" s="4" t="n">
        <v>46143</v>
      </c>
      <c r="F5" s="4" t="n">
        <v>46265</v>
      </c>
      <c r="G5" s="2">
        <f>IF(B5="","",IFERROR(LOOKUP(2,1/('Weekly Updates'!$C$2:$C$501=B5),'Weekly Updates'!$D$2:$D$501),"Not Started"))</f>
        <v/>
      </c>
    </row>
    <row r="6">
      <c r="A6" s="2">
        <f>IF(B6="","","T"&amp;TEXT(ROW()-1,"000"))</f>
        <v/>
      </c>
      <c r="B6" s="3" t="inlineStr">
        <is>
          <t>Data Migration</t>
        </is>
      </c>
      <c r="C6" s="3" t="inlineStr">
        <is>
          <t>Migrate legacy DB to new schema</t>
        </is>
      </c>
      <c r="D6" s="3" t="inlineStr">
        <is>
          <t>Enith</t>
        </is>
      </c>
      <c r="E6" s="4" t="n">
        <v>46054</v>
      </c>
      <c r="F6" s="4" t="n">
        <v>46142</v>
      </c>
      <c r="G6" s="2">
        <f>IF(B6="","",IFERROR(LOOKUP(2,1/('Weekly Updates'!$C$2:$C$501=B6),'Weekly Updates'!$D$2:$D$501),"Not Started"))</f>
        <v/>
      </c>
    </row>
    <row r="7">
      <c r="A7" s="2">
        <f>IF(B7="","","T"&amp;TEXT(ROW()-1,"000"))</f>
        <v/>
      </c>
      <c r="B7" s="3" t="n"/>
      <c r="C7" s="3" t="n"/>
      <c r="D7" s="3" t="n"/>
      <c r="E7" s="4" t="n"/>
      <c r="F7" s="4" t="n"/>
      <c r="G7" s="2">
        <f>IF(B7="","",IFERROR(LOOKUP(2,1/('Weekly Updates'!$C$2:$C$501=B7),'Weekly Updates'!$D$2:$D$501),"Not Started"))</f>
        <v/>
      </c>
    </row>
    <row r="8">
      <c r="A8" s="2">
        <f>IF(B8="","","T"&amp;TEXT(ROW()-1,"000"))</f>
        <v/>
      </c>
      <c r="B8" s="3" t="n"/>
      <c r="C8" s="3" t="n"/>
      <c r="D8" s="3" t="n"/>
      <c r="E8" s="4" t="n"/>
      <c r="F8" s="4" t="n"/>
      <c r="G8" s="2">
        <f>IF(B8="","",IFERROR(LOOKUP(2,1/('Weekly Updates'!$C$2:$C$501=B8),'Weekly Updates'!$D$2:$D$501),"Not Started"))</f>
        <v/>
      </c>
    </row>
    <row r="9">
      <c r="A9" s="2">
        <f>IF(B9="","","T"&amp;TEXT(ROW()-1,"000"))</f>
        <v/>
      </c>
      <c r="B9" s="3" t="n"/>
      <c r="C9" s="3" t="n"/>
      <c r="D9" s="3" t="n"/>
      <c r="E9" s="4" t="n"/>
      <c r="F9" s="4" t="n"/>
      <c r="G9" s="2">
        <f>IF(B9="","",IFERROR(LOOKUP(2,1/('Weekly Updates'!$C$2:$C$501=B9),'Weekly Updates'!$D$2:$D$501),"Not Started"))</f>
        <v/>
      </c>
    </row>
    <row r="10">
      <c r="A10" s="2">
        <f>IF(B10="","","T"&amp;TEXT(ROW()-1,"000"))</f>
        <v/>
      </c>
      <c r="B10" s="3" t="n"/>
      <c r="C10" s="3" t="n"/>
      <c r="D10" s="3" t="n"/>
      <c r="E10" s="4" t="n"/>
      <c r="F10" s="4" t="n"/>
      <c r="G10" s="2">
        <f>IF(B10="","",IFERROR(LOOKUP(2,1/('Weekly Updates'!$C$2:$C$501=B10),'Weekly Updates'!$D$2:$D$501),"Not Started"))</f>
        <v/>
      </c>
    </row>
    <row r="11">
      <c r="A11" s="2">
        <f>IF(B11="","","T"&amp;TEXT(ROW()-1,"000"))</f>
        <v/>
      </c>
      <c r="B11" s="3" t="n"/>
      <c r="C11" s="3" t="n"/>
      <c r="D11" s="3" t="n"/>
      <c r="E11" s="4" t="n"/>
      <c r="F11" s="4" t="n"/>
      <c r="G11" s="2">
        <f>IF(B11="","",IFERROR(LOOKUP(2,1/('Weekly Updates'!$C$2:$C$501=B11),'Weekly Updates'!$D$2:$D$501),"Not Started"))</f>
        <v/>
      </c>
    </row>
    <row r="12">
      <c r="A12" s="2">
        <f>IF(B12="","","T"&amp;TEXT(ROW()-1,"000"))</f>
        <v/>
      </c>
      <c r="B12" s="3" t="n"/>
      <c r="C12" s="3" t="n"/>
      <c r="D12" s="3" t="n"/>
      <c r="E12" s="4" t="n"/>
      <c r="F12" s="4" t="n"/>
      <c r="G12" s="2">
        <f>IF(B12="","",IFERROR(LOOKUP(2,1/('Weekly Updates'!$C$2:$C$501=B12),'Weekly Updates'!$D$2:$D$501),"Not Started"))</f>
        <v/>
      </c>
    </row>
    <row r="13">
      <c r="A13" s="2">
        <f>IF(B13="","","T"&amp;TEXT(ROW()-1,"000"))</f>
        <v/>
      </c>
      <c r="B13" s="3" t="n"/>
      <c r="C13" s="3" t="n"/>
      <c r="D13" s="3" t="n"/>
      <c r="E13" s="4" t="n"/>
      <c r="F13" s="4" t="n"/>
      <c r="G13" s="2">
        <f>IF(B13="","",IFERROR(LOOKUP(2,1/('Weekly Updates'!$C$2:$C$501=B13),'Weekly Updates'!$D$2:$D$501),"Not Started"))</f>
        <v/>
      </c>
    </row>
    <row r="14">
      <c r="A14" s="2">
        <f>IF(B14="","","T"&amp;TEXT(ROW()-1,"000"))</f>
        <v/>
      </c>
      <c r="B14" s="3" t="n"/>
      <c r="C14" s="3" t="n"/>
      <c r="D14" s="3" t="n"/>
      <c r="E14" s="4" t="n"/>
      <c r="F14" s="4" t="n"/>
      <c r="G14" s="2">
        <f>IF(B14="","",IFERROR(LOOKUP(2,1/('Weekly Updates'!$C$2:$C$501=B14),'Weekly Updates'!$D$2:$D$501),"Not Started"))</f>
        <v/>
      </c>
    </row>
    <row r="15">
      <c r="A15" s="2">
        <f>IF(B15="","","T"&amp;TEXT(ROW()-1,"000"))</f>
        <v/>
      </c>
      <c r="B15" s="3" t="n"/>
      <c r="C15" s="3" t="n"/>
      <c r="D15" s="3" t="n"/>
      <c r="E15" s="4" t="n"/>
      <c r="F15" s="4" t="n"/>
      <c r="G15" s="2">
        <f>IF(B15="","",IFERROR(LOOKUP(2,1/('Weekly Updates'!$C$2:$C$501=B15),'Weekly Updates'!$D$2:$D$501),"Not Started"))</f>
        <v/>
      </c>
    </row>
    <row r="16">
      <c r="A16" s="2">
        <f>IF(B16="","","T"&amp;TEXT(ROW()-1,"000"))</f>
        <v/>
      </c>
      <c r="B16" s="3" t="n"/>
      <c r="C16" s="3" t="n"/>
      <c r="D16" s="3" t="n"/>
      <c r="E16" s="4" t="n"/>
      <c r="F16" s="4" t="n"/>
      <c r="G16" s="2">
        <f>IF(B16="","",IFERROR(LOOKUP(2,1/('Weekly Updates'!$C$2:$C$501=B16),'Weekly Updates'!$D$2:$D$501),"Not Started"))</f>
        <v/>
      </c>
    </row>
    <row r="17">
      <c r="A17" s="2">
        <f>IF(B17="","","T"&amp;TEXT(ROW()-1,"000"))</f>
        <v/>
      </c>
      <c r="B17" s="3" t="n"/>
      <c r="C17" s="3" t="n"/>
      <c r="D17" s="3" t="n"/>
      <c r="E17" s="4" t="n"/>
      <c r="F17" s="4" t="n"/>
      <c r="G17" s="2">
        <f>IF(B17="","",IFERROR(LOOKUP(2,1/('Weekly Updates'!$C$2:$C$501=B17),'Weekly Updates'!$D$2:$D$501),"Not Started"))</f>
        <v/>
      </c>
    </row>
    <row r="18">
      <c r="A18" s="2">
        <f>IF(B18="","","T"&amp;TEXT(ROW()-1,"000"))</f>
        <v/>
      </c>
      <c r="B18" s="3" t="n"/>
      <c r="C18" s="3" t="n"/>
      <c r="D18" s="3" t="n"/>
      <c r="E18" s="4" t="n"/>
      <c r="F18" s="4" t="n"/>
      <c r="G18" s="2">
        <f>IF(B18="","",IFERROR(LOOKUP(2,1/('Weekly Updates'!$C$2:$C$501=B18),'Weekly Updates'!$D$2:$D$501),"Not Started"))</f>
        <v/>
      </c>
    </row>
    <row r="19">
      <c r="A19" s="2">
        <f>IF(B19="","","T"&amp;TEXT(ROW()-1,"000"))</f>
        <v/>
      </c>
      <c r="B19" s="3" t="n"/>
      <c r="C19" s="3" t="n"/>
      <c r="D19" s="3" t="n"/>
      <c r="E19" s="4" t="n"/>
      <c r="F19" s="4" t="n"/>
      <c r="G19" s="2">
        <f>IF(B19="","",IFERROR(LOOKUP(2,1/('Weekly Updates'!$C$2:$C$501=B19),'Weekly Updates'!$D$2:$D$501),"Not Started"))</f>
        <v/>
      </c>
    </row>
    <row r="20">
      <c r="A20" s="2">
        <f>IF(B20="","","T"&amp;TEXT(ROW()-1,"000"))</f>
        <v/>
      </c>
      <c r="B20" s="3" t="n"/>
      <c r="C20" s="3" t="n"/>
      <c r="D20" s="3" t="n"/>
      <c r="E20" s="4" t="n"/>
      <c r="F20" s="4" t="n"/>
      <c r="G20" s="2">
        <f>IF(B20="","",IFERROR(LOOKUP(2,1/('Weekly Updates'!$C$2:$C$501=B20),'Weekly Updates'!$D$2:$D$501),"Not Started"))</f>
        <v/>
      </c>
    </row>
    <row r="21">
      <c r="A21" s="2">
        <f>IF(B21="","","T"&amp;TEXT(ROW()-1,"000"))</f>
        <v/>
      </c>
      <c r="B21" s="3" t="n"/>
      <c r="C21" s="3" t="n"/>
      <c r="D21" s="3" t="n"/>
      <c r="E21" s="4" t="n"/>
      <c r="F21" s="4" t="n"/>
      <c r="G21" s="2">
        <f>IF(B21="","",IFERROR(LOOKUP(2,1/('Weekly Updates'!$C$2:$C$501=B21),'Weekly Updates'!$D$2:$D$501),"Not Started"))</f>
        <v/>
      </c>
    </row>
    <row r="22">
      <c r="A22" s="2">
        <f>IF(B22="","","T"&amp;TEXT(ROW()-1,"000"))</f>
        <v/>
      </c>
      <c r="B22" s="3" t="n"/>
      <c r="C22" s="3" t="n"/>
      <c r="D22" s="3" t="n"/>
      <c r="E22" s="4" t="n"/>
      <c r="F22" s="4" t="n"/>
      <c r="G22" s="2">
        <f>IF(B22="","",IFERROR(LOOKUP(2,1/('Weekly Updates'!$C$2:$C$501=B22),'Weekly Updates'!$D$2:$D$501),"Not Started"))</f>
        <v/>
      </c>
    </row>
    <row r="23">
      <c r="A23" s="2">
        <f>IF(B23="","","T"&amp;TEXT(ROW()-1,"000"))</f>
        <v/>
      </c>
      <c r="B23" s="3" t="n"/>
      <c r="C23" s="3" t="n"/>
      <c r="D23" s="3" t="n"/>
      <c r="E23" s="4" t="n"/>
      <c r="F23" s="4" t="n"/>
      <c r="G23" s="2">
        <f>IF(B23="","",IFERROR(LOOKUP(2,1/('Weekly Updates'!$C$2:$C$501=B23),'Weekly Updates'!$D$2:$D$501),"Not Started"))</f>
        <v/>
      </c>
    </row>
    <row r="24">
      <c r="A24" s="2">
        <f>IF(B24="","","T"&amp;TEXT(ROW()-1,"000"))</f>
        <v/>
      </c>
      <c r="B24" s="3" t="n"/>
      <c r="C24" s="3" t="n"/>
      <c r="D24" s="3" t="n"/>
      <c r="E24" s="4" t="n"/>
      <c r="F24" s="4" t="n"/>
      <c r="G24" s="2">
        <f>IF(B24="","",IFERROR(LOOKUP(2,1/('Weekly Updates'!$C$2:$C$501=B24),'Weekly Updates'!$D$2:$D$501),"Not Started"))</f>
        <v/>
      </c>
    </row>
    <row r="25">
      <c r="A25" s="2">
        <f>IF(B25="","","T"&amp;TEXT(ROW()-1,"000"))</f>
        <v/>
      </c>
      <c r="B25" s="3" t="n"/>
      <c r="C25" s="3" t="n"/>
      <c r="D25" s="3" t="n"/>
      <c r="E25" s="4" t="n"/>
      <c r="F25" s="4" t="n"/>
      <c r="G25" s="2">
        <f>IF(B25="","",IFERROR(LOOKUP(2,1/('Weekly Updates'!$C$2:$C$501=B25),'Weekly Updates'!$D$2:$D$501),"Not Started"))</f>
        <v/>
      </c>
    </row>
    <row r="26">
      <c r="A26" s="2">
        <f>IF(B26="","","T"&amp;TEXT(ROW()-1,"000"))</f>
        <v/>
      </c>
      <c r="B26" s="3" t="n"/>
      <c r="C26" s="3" t="n"/>
      <c r="D26" s="3" t="n"/>
      <c r="E26" s="4" t="n"/>
      <c r="F26" s="4" t="n"/>
      <c r="G26" s="2">
        <f>IF(B26="","",IFERROR(LOOKUP(2,1/('Weekly Updates'!$C$2:$C$501=B26),'Weekly Updates'!$D$2:$D$501),"Not Started"))</f>
        <v/>
      </c>
    </row>
    <row r="27">
      <c r="A27" s="2">
        <f>IF(B27="","","T"&amp;TEXT(ROW()-1,"000"))</f>
        <v/>
      </c>
      <c r="B27" s="3" t="n"/>
      <c r="C27" s="3" t="n"/>
      <c r="D27" s="3" t="n"/>
      <c r="E27" s="4" t="n"/>
      <c r="F27" s="4" t="n"/>
      <c r="G27" s="2">
        <f>IF(B27="","",IFERROR(LOOKUP(2,1/('Weekly Updates'!$C$2:$C$501=B27),'Weekly Updates'!$D$2:$D$501),"Not Started"))</f>
        <v/>
      </c>
    </row>
    <row r="28">
      <c r="A28" s="2">
        <f>IF(B28="","","T"&amp;TEXT(ROW()-1,"000"))</f>
        <v/>
      </c>
      <c r="B28" s="3" t="n"/>
      <c r="C28" s="3" t="n"/>
      <c r="D28" s="3" t="n"/>
      <c r="E28" s="4" t="n"/>
      <c r="F28" s="4" t="n"/>
      <c r="G28" s="2">
        <f>IF(B28="","",IFERROR(LOOKUP(2,1/('Weekly Updates'!$C$2:$C$501=B28),'Weekly Updates'!$D$2:$D$501),"Not Started"))</f>
        <v/>
      </c>
    </row>
    <row r="29">
      <c r="A29" s="2">
        <f>IF(B29="","","T"&amp;TEXT(ROW()-1,"000"))</f>
        <v/>
      </c>
      <c r="B29" s="3" t="n"/>
      <c r="C29" s="3" t="n"/>
      <c r="D29" s="3" t="n"/>
      <c r="E29" s="4" t="n"/>
      <c r="F29" s="4" t="n"/>
      <c r="G29" s="2">
        <f>IF(B29="","",IFERROR(LOOKUP(2,1/('Weekly Updates'!$C$2:$C$501=B29),'Weekly Updates'!$D$2:$D$501),"Not Started"))</f>
        <v/>
      </c>
    </row>
    <row r="30">
      <c r="A30" s="2">
        <f>IF(B30="","","T"&amp;TEXT(ROW()-1,"000"))</f>
        <v/>
      </c>
      <c r="B30" s="3" t="n"/>
      <c r="C30" s="3" t="n"/>
      <c r="D30" s="3" t="n"/>
      <c r="E30" s="4" t="n"/>
      <c r="F30" s="4" t="n"/>
      <c r="G30" s="2">
        <f>IF(B30="","",IFERROR(LOOKUP(2,1/('Weekly Updates'!$C$2:$C$501=B30),'Weekly Updates'!$D$2:$D$501),"Not Started"))</f>
        <v/>
      </c>
    </row>
    <row r="31">
      <c r="A31" s="2">
        <f>IF(B31="","","T"&amp;TEXT(ROW()-1,"000"))</f>
        <v/>
      </c>
      <c r="B31" s="3" t="n"/>
      <c r="C31" s="3" t="n"/>
      <c r="D31" s="3" t="n"/>
      <c r="E31" s="4" t="n"/>
      <c r="F31" s="4" t="n"/>
      <c r="G31" s="2">
        <f>IF(B31="","",IFERROR(LOOKUP(2,1/('Weekly Updates'!$C$2:$C$501=B31),'Weekly Updates'!$D$2:$D$501),"Not Started"))</f>
        <v/>
      </c>
    </row>
    <row r="32">
      <c r="A32" s="2">
        <f>IF(B32="","","T"&amp;TEXT(ROW()-1,"000"))</f>
        <v/>
      </c>
      <c r="B32" s="3" t="n"/>
      <c r="C32" s="3" t="n"/>
      <c r="D32" s="3" t="n"/>
      <c r="E32" s="4" t="n"/>
      <c r="F32" s="4" t="n"/>
      <c r="G32" s="2">
        <f>IF(B32="","",IFERROR(LOOKUP(2,1/('Weekly Updates'!$C$2:$C$501=B32),'Weekly Updates'!$D$2:$D$501),"Not Started"))</f>
        <v/>
      </c>
    </row>
    <row r="33">
      <c r="A33" s="2">
        <f>IF(B33="","","T"&amp;TEXT(ROW()-1,"000"))</f>
        <v/>
      </c>
      <c r="B33" s="3" t="n"/>
      <c r="C33" s="3" t="n"/>
      <c r="D33" s="3" t="n"/>
      <c r="E33" s="4" t="n"/>
      <c r="F33" s="4" t="n"/>
      <c r="G33" s="2">
        <f>IF(B33="","",IFERROR(LOOKUP(2,1/('Weekly Updates'!$C$2:$C$501=B33),'Weekly Updates'!$D$2:$D$501),"Not Started"))</f>
        <v/>
      </c>
    </row>
    <row r="34">
      <c r="A34" s="2">
        <f>IF(B34="","","T"&amp;TEXT(ROW()-1,"000"))</f>
        <v/>
      </c>
      <c r="B34" s="3" t="n"/>
      <c r="C34" s="3" t="n"/>
      <c r="D34" s="3" t="n"/>
      <c r="E34" s="4" t="n"/>
      <c r="F34" s="4" t="n"/>
      <c r="G34" s="2">
        <f>IF(B34="","",IFERROR(LOOKUP(2,1/('Weekly Updates'!$C$2:$C$501=B34),'Weekly Updates'!$D$2:$D$501),"Not Started"))</f>
        <v/>
      </c>
    </row>
    <row r="35">
      <c r="A35" s="2">
        <f>IF(B35="","","T"&amp;TEXT(ROW()-1,"000"))</f>
        <v/>
      </c>
      <c r="B35" s="3" t="n"/>
      <c r="C35" s="3" t="n"/>
      <c r="D35" s="3" t="n"/>
      <c r="E35" s="4" t="n"/>
      <c r="F35" s="4" t="n"/>
      <c r="G35" s="2">
        <f>IF(B35="","",IFERROR(LOOKUP(2,1/('Weekly Updates'!$C$2:$C$501=B35),'Weekly Updates'!$D$2:$D$501),"Not Started"))</f>
        <v/>
      </c>
    </row>
    <row r="36">
      <c r="A36" s="2">
        <f>IF(B36="","","T"&amp;TEXT(ROW()-1,"000"))</f>
        <v/>
      </c>
      <c r="B36" s="3" t="n"/>
      <c r="C36" s="3" t="n"/>
      <c r="D36" s="3" t="n"/>
      <c r="E36" s="4" t="n"/>
      <c r="F36" s="4" t="n"/>
      <c r="G36" s="2">
        <f>IF(B36="","",IFERROR(LOOKUP(2,1/('Weekly Updates'!$C$2:$C$501=B36),'Weekly Updates'!$D$2:$D$501),"Not Started"))</f>
        <v/>
      </c>
    </row>
    <row r="37">
      <c r="A37" s="2">
        <f>IF(B37="","","T"&amp;TEXT(ROW()-1,"000"))</f>
        <v/>
      </c>
      <c r="B37" s="3" t="n"/>
      <c r="C37" s="3" t="n"/>
      <c r="D37" s="3" t="n"/>
      <c r="E37" s="4" t="n"/>
      <c r="F37" s="4" t="n"/>
      <c r="G37" s="2">
        <f>IF(B37="","",IFERROR(LOOKUP(2,1/('Weekly Updates'!$C$2:$C$501=B37),'Weekly Updates'!$D$2:$D$501),"Not Started"))</f>
        <v/>
      </c>
    </row>
    <row r="38">
      <c r="A38" s="2">
        <f>IF(B38="","","T"&amp;TEXT(ROW()-1,"000"))</f>
        <v/>
      </c>
      <c r="B38" s="3" t="n"/>
      <c r="C38" s="3" t="n"/>
      <c r="D38" s="3" t="n"/>
      <c r="E38" s="4" t="n"/>
      <c r="F38" s="4" t="n"/>
      <c r="G38" s="2">
        <f>IF(B38="","",IFERROR(LOOKUP(2,1/('Weekly Updates'!$C$2:$C$501=B38),'Weekly Updates'!$D$2:$D$501),"Not Started"))</f>
        <v/>
      </c>
    </row>
    <row r="39">
      <c r="A39" s="2">
        <f>IF(B39="","","T"&amp;TEXT(ROW()-1,"000"))</f>
        <v/>
      </c>
      <c r="B39" s="3" t="n"/>
      <c r="C39" s="3" t="n"/>
      <c r="D39" s="3" t="n"/>
      <c r="E39" s="4" t="n"/>
      <c r="F39" s="4" t="n"/>
      <c r="G39" s="2">
        <f>IF(B39="","",IFERROR(LOOKUP(2,1/('Weekly Updates'!$C$2:$C$501=B39),'Weekly Updates'!$D$2:$D$501),"Not Started"))</f>
        <v/>
      </c>
    </row>
    <row r="40">
      <c r="A40" s="2">
        <f>IF(B40="","","T"&amp;TEXT(ROW()-1,"000"))</f>
        <v/>
      </c>
      <c r="B40" s="3" t="n"/>
      <c r="C40" s="3" t="n"/>
      <c r="D40" s="3" t="n"/>
      <c r="E40" s="4" t="n"/>
      <c r="F40" s="4" t="n"/>
      <c r="G40" s="2">
        <f>IF(B40="","",IFERROR(LOOKUP(2,1/('Weekly Updates'!$C$2:$C$501=B40),'Weekly Updates'!$D$2:$D$501),"Not Started"))</f>
        <v/>
      </c>
    </row>
    <row r="41">
      <c r="A41" s="2">
        <f>IF(B41="","","T"&amp;TEXT(ROW()-1,"000"))</f>
        <v/>
      </c>
      <c r="B41" s="3" t="n"/>
      <c r="C41" s="3" t="n"/>
      <c r="D41" s="3" t="n"/>
      <c r="E41" s="4" t="n"/>
      <c r="F41" s="4" t="n"/>
      <c r="G41" s="2">
        <f>IF(B41="","",IFERROR(LOOKUP(2,1/('Weekly Updates'!$C$2:$C$501=B41),'Weekly Updates'!$D$2:$D$501),"Not Started"))</f>
        <v/>
      </c>
    </row>
    <row r="42">
      <c r="A42" s="2">
        <f>IF(B42="","","T"&amp;TEXT(ROW()-1,"000"))</f>
        <v/>
      </c>
      <c r="B42" s="3" t="n"/>
      <c r="C42" s="3" t="n"/>
      <c r="D42" s="3" t="n"/>
      <c r="E42" s="4" t="n"/>
      <c r="F42" s="4" t="n"/>
      <c r="G42" s="2">
        <f>IF(B42="","",IFERROR(LOOKUP(2,1/('Weekly Updates'!$C$2:$C$501=B42),'Weekly Updates'!$D$2:$D$501),"Not Started"))</f>
        <v/>
      </c>
    </row>
    <row r="43">
      <c r="A43" s="2">
        <f>IF(B43="","","T"&amp;TEXT(ROW()-1,"000"))</f>
        <v/>
      </c>
      <c r="B43" s="3" t="n"/>
      <c r="C43" s="3" t="n"/>
      <c r="D43" s="3" t="n"/>
      <c r="E43" s="4" t="n"/>
      <c r="F43" s="4" t="n"/>
      <c r="G43" s="2">
        <f>IF(B43="","",IFERROR(LOOKUP(2,1/('Weekly Updates'!$C$2:$C$501=B43),'Weekly Updates'!$D$2:$D$501),"Not Started"))</f>
        <v/>
      </c>
    </row>
    <row r="44">
      <c r="A44" s="2">
        <f>IF(B44="","","T"&amp;TEXT(ROW()-1,"000"))</f>
        <v/>
      </c>
      <c r="B44" s="3" t="n"/>
      <c r="C44" s="3" t="n"/>
      <c r="D44" s="3" t="n"/>
      <c r="E44" s="4" t="n"/>
      <c r="F44" s="4" t="n"/>
      <c r="G44" s="2">
        <f>IF(B44="","",IFERROR(LOOKUP(2,1/('Weekly Updates'!$C$2:$C$501=B44),'Weekly Updates'!$D$2:$D$501),"Not Started"))</f>
        <v/>
      </c>
    </row>
    <row r="45">
      <c r="A45" s="2">
        <f>IF(B45="","","T"&amp;TEXT(ROW()-1,"000"))</f>
        <v/>
      </c>
      <c r="B45" s="3" t="n"/>
      <c r="C45" s="3" t="n"/>
      <c r="D45" s="3" t="n"/>
      <c r="E45" s="4" t="n"/>
      <c r="F45" s="4" t="n"/>
      <c r="G45" s="2">
        <f>IF(B45="","",IFERROR(LOOKUP(2,1/('Weekly Updates'!$C$2:$C$501=B45),'Weekly Updates'!$D$2:$D$501),"Not Started"))</f>
        <v/>
      </c>
    </row>
    <row r="46">
      <c r="A46" s="2">
        <f>IF(B46="","","T"&amp;TEXT(ROW()-1,"000"))</f>
        <v/>
      </c>
      <c r="B46" s="3" t="n"/>
      <c r="C46" s="3" t="n"/>
      <c r="D46" s="3" t="n"/>
      <c r="E46" s="4" t="n"/>
      <c r="F46" s="4" t="n"/>
      <c r="G46" s="2">
        <f>IF(B46="","",IFERROR(LOOKUP(2,1/('Weekly Updates'!$C$2:$C$501=B46),'Weekly Updates'!$D$2:$D$501),"Not Started"))</f>
        <v/>
      </c>
    </row>
    <row r="47">
      <c r="A47" s="2">
        <f>IF(B47="","","T"&amp;TEXT(ROW()-1,"000"))</f>
        <v/>
      </c>
      <c r="B47" s="3" t="n"/>
      <c r="C47" s="3" t="n"/>
      <c r="D47" s="3" t="n"/>
      <c r="E47" s="4" t="n"/>
      <c r="F47" s="4" t="n"/>
      <c r="G47" s="2">
        <f>IF(B47="","",IFERROR(LOOKUP(2,1/('Weekly Updates'!$C$2:$C$501=B47),'Weekly Updates'!$D$2:$D$501),"Not Started"))</f>
        <v/>
      </c>
    </row>
    <row r="48">
      <c r="A48" s="2">
        <f>IF(B48="","","T"&amp;TEXT(ROW()-1,"000"))</f>
        <v/>
      </c>
      <c r="B48" s="3" t="n"/>
      <c r="C48" s="3" t="n"/>
      <c r="D48" s="3" t="n"/>
      <c r="E48" s="4" t="n"/>
      <c r="F48" s="4" t="n"/>
      <c r="G48" s="2">
        <f>IF(B48="","",IFERROR(LOOKUP(2,1/('Weekly Updates'!$C$2:$C$501=B48),'Weekly Updates'!$D$2:$D$501),"Not Started"))</f>
        <v/>
      </c>
    </row>
    <row r="49">
      <c r="A49" s="2">
        <f>IF(B49="","","T"&amp;TEXT(ROW()-1,"000"))</f>
        <v/>
      </c>
      <c r="B49" s="3" t="n"/>
      <c r="C49" s="3" t="n"/>
      <c r="D49" s="3" t="n"/>
      <c r="E49" s="4" t="n"/>
      <c r="F49" s="4" t="n"/>
      <c r="G49" s="2">
        <f>IF(B49="","",IFERROR(LOOKUP(2,1/('Weekly Updates'!$C$2:$C$501=B49),'Weekly Updates'!$D$2:$D$501),"Not Started"))</f>
        <v/>
      </c>
    </row>
    <row r="50">
      <c r="A50" s="2">
        <f>IF(B50="","","T"&amp;TEXT(ROW()-1,"000"))</f>
        <v/>
      </c>
      <c r="B50" s="3" t="n"/>
      <c r="C50" s="3" t="n"/>
      <c r="D50" s="3" t="n"/>
      <c r="E50" s="4" t="n"/>
      <c r="F50" s="4" t="n"/>
      <c r="G50" s="2">
        <f>IF(B50="","",IFERROR(LOOKUP(2,1/('Weekly Updates'!$C$2:$C$501=B50),'Weekly Updates'!$D$2:$D$501),"Not Started"))</f>
        <v/>
      </c>
    </row>
    <row r="51">
      <c r="A51" s="2">
        <f>IF(B51="","","T"&amp;TEXT(ROW()-1,"000"))</f>
        <v/>
      </c>
      <c r="B51" s="3" t="n"/>
      <c r="C51" s="3" t="n"/>
      <c r="D51" s="3" t="n"/>
      <c r="E51" s="4" t="n"/>
      <c r="F51" s="4" t="n"/>
      <c r="G51" s="2">
        <f>IF(B51="","",IFERROR(LOOKUP(2,1/('Weekly Updates'!$C$2:$C$501=B51),'Weekly Updates'!$D$2:$D$501),"Not Started"))</f>
        <v/>
      </c>
    </row>
  </sheetData>
  <dataValidations count="1">
    <dataValidation sqref="D2:D51" showDropDown="0" showInputMessage="0" showErrorMessage="1" allowBlank="0" errorTitle="Invalid Team" error="Select a valid team member combination from the dropdown." type="list">
      <formula1>"Alex,Srikanth,Enith,Alex; Srikanth,Alex; Enith,Srikanth; Enith,Alex; Srikanth; Enith"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8A169"/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12" customWidth="1" min="4" max="4"/>
    <col width="35" customWidth="1" min="5" max="5"/>
    <col width="25" customWidth="1" min="6" max="6"/>
    <col width="15" customWidth="1" min="7" max="7"/>
  </cols>
  <sheetData>
    <row r="1">
      <c r="A1" s="1" t="inlineStr">
        <is>
          <t>Update Date</t>
        </is>
      </c>
      <c r="B1" s="1" t="inlineStr">
        <is>
          <t>Team Member</t>
        </is>
      </c>
      <c r="C1" s="1" t="inlineStr">
        <is>
          <t>Task</t>
        </is>
      </c>
      <c r="D1" s="1" t="inlineStr">
        <is>
          <t>Status</t>
        </is>
      </c>
      <c r="E1" s="1" t="inlineStr">
        <is>
          <t>Progress</t>
        </is>
      </c>
      <c r="F1" s="1" t="inlineStr">
        <is>
          <t>Blockers</t>
        </is>
      </c>
      <c r="G1" s="1" t="inlineStr">
        <is>
          <t>Hours Spent</t>
        </is>
      </c>
    </row>
    <row r="2">
      <c r="A2" s="4" t="n">
        <v>46104</v>
      </c>
      <c r="B2" s="3" t="inlineStr">
        <is>
          <t>Alex</t>
        </is>
      </c>
      <c r="C2" s="3" t="inlineStr">
        <is>
          <t>API Gateway Build</t>
        </is>
      </c>
      <c r="D2" s="3" t="inlineStr">
        <is>
          <t>On Track</t>
        </is>
      </c>
      <c r="E2" s="3" t="inlineStr">
        <is>
          <t>Route config done</t>
        </is>
      </c>
      <c r="F2" s="3" t="inlineStr"/>
      <c r="G2" s="3" t="n">
        <v>18</v>
      </c>
    </row>
    <row r="3">
      <c r="A3" s="4" t="n">
        <v>46111</v>
      </c>
      <c r="B3" s="3" t="inlineStr">
        <is>
          <t>Alex</t>
        </is>
      </c>
      <c r="C3" s="3" t="inlineStr">
        <is>
          <t>API Gateway Build</t>
        </is>
      </c>
      <c r="D3" s="3" t="inlineStr">
        <is>
          <t>On Track</t>
        </is>
      </c>
      <c r="E3" s="3" t="inlineStr">
        <is>
          <t>Auth middleware started</t>
        </is>
      </c>
      <c r="F3" s="3" t="inlineStr"/>
      <c r="G3" s="3" t="n">
        <v>20</v>
      </c>
    </row>
    <row r="4">
      <c r="A4" s="4" t="n">
        <v>46118</v>
      </c>
      <c r="B4" s="3" t="inlineStr">
        <is>
          <t>Alex</t>
        </is>
      </c>
      <c r="C4" s="3" t="inlineStr">
        <is>
          <t>API Gateway Build</t>
        </is>
      </c>
      <c r="D4" s="3" t="inlineStr">
        <is>
          <t>On Track</t>
        </is>
      </c>
      <c r="E4" s="3" t="inlineStr">
        <is>
          <t>Rate limiter built</t>
        </is>
      </c>
      <c r="F4" s="3" t="inlineStr"/>
      <c r="G4" s="3" t="n">
        <v>22</v>
      </c>
    </row>
    <row r="5">
      <c r="A5" s="4" t="n">
        <v>46125</v>
      </c>
      <c r="B5" s="3" t="inlineStr">
        <is>
          <t>Alex</t>
        </is>
      </c>
      <c r="C5" s="3" t="inlineStr">
        <is>
          <t>API Gateway Build</t>
        </is>
      </c>
      <c r="D5" s="3" t="inlineStr">
        <is>
          <t>On Track</t>
        </is>
      </c>
      <c r="E5" s="3" t="inlineStr">
        <is>
          <t>Integration tests</t>
        </is>
      </c>
      <c r="F5" s="3" t="inlineStr"/>
      <c r="G5" s="3" t="n">
        <v>20</v>
      </c>
    </row>
    <row r="6">
      <c r="A6" s="4" t="n">
        <v>46132</v>
      </c>
      <c r="B6" s="3" t="inlineStr">
        <is>
          <t>Alex</t>
        </is>
      </c>
      <c r="C6" s="3" t="inlineStr">
        <is>
          <t>API Gateway Build</t>
        </is>
      </c>
      <c r="D6" s="3" t="inlineStr">
        <is>
          <t>On Track</t>
        </is>
      </c>
      <c r="E6" s="3" t="inlineStr">
        <is>
          <t>Load testing prep</t>
        </is>
      </c>
      <c r="F6" s="3" t="inlineStr"/>
      <c r="G6" s="3" t="n">
        <v>15</v>
      </c>
    </row>
    <row r="7">
      <c r="A7" s="4" t="n">
        <v>46139</v>
      </c>
      <c r="B7" s="3" t="inlineStr">
        <is>
          <t>Alex</t>
        </is>
      </c>
      <c r="C7" s="3" t="inlineStr">
        <is>
          <t>API Gateway Build</t>
        </is>
      </c>
      <c r="D7" s="3" t="inlineStr">
        <is>
          <t>On Track</t>
        </is>
      </c>
      <c r="E7" s="3" t="inlineStr">
        <is>
          <t>API docs written</t>
        </is>
      </c>
      <c r="F7" s="3" t="inlineStr"/>
      <c r="G7" s="3" t="n">
        <v>18</v>
      </c>
    </row>
    <row r="8">
      <c r="A8" s="4" t="n">
        <v>46146</v>
      </c>
      <c r="B8" s="3" t="inlineStr">
        <is>
          <t>Alex</t>
        </is>
      </c>
      <c r="C8" s="3" t="inlineStr">
        <is>
          <t>API Gateway Build</t>
        </is>
      </c>
      <c r="D8" s="3" t="inlineStr">
        <is>
          <t>On Track</t>
        </is>
      </c>
      <c r="E8" s="3" t="inlineStr">
        <is>
          <t>Staging deploy</t>
        </is>
      </c>
      <c r="F8" s="3" t="inlineStr"/>
      <c r="G8" s="3" t="n">
        <v>20</v>
      </c>
    </row>
    <row r="9">
      <c r="A9" s="4" t="n">
        <v>46153</v>
      </c>
      <c r="B9" s="3" t="inlineStr">
        <is>
          <t>Alex</t>
        </is>
      </c>
      <c r="C9" s="3" t="inlineStr">
        <is>
          <t>API Gateway Build</t>
        </is>
      </c>
      <c r="D9" s="3" t="inlineStr">
        <is>
          <t>On Track</t>
        </is>
      </c>
      <c r="E9" s="3" t="inlineStr">
        <is>
          <t>Load testing started</t>
        </is>
      </c>
      <c r="F9" s="3" t="inlineStr"/>
      <c r="G9" s="3" t="n">
        <v>15</v>
      </c>
    </row>
    <row r="10">
      <c r="A10" s="4" t="n">
        <v>46125</v>
      </c>
      <c r="B10" s="3" t="inlineStr">
        <is>
          <t>Alex</t>
        </is>
      </c>
      <c r="C10" s="3" t="inlineStr">
        <is>
          <t>Dashboard UI</t>
        </is>
      </c>
      <c r="D10" s="3" t="inlineStr">
        <is>
          <t>On Track</t>
        </is>
      </c>
      <c r="E10" s="3" t="inlineStr">
        <is>
          <t>Initial wireframes</t>
        </is>
      </c>
      <c r="F10" s="3" t="inlineStr"/>
      <c r="G10" s="3" t="n">
        <v>5</v>
      </c>
    </row>
    <row r="11">
      <c r="A11" s="4" t="n">
        <v>46132</v>
      </c>
      <c r="B11" s="3" t="inlineStr">
        <is>
          <t>Alex</t>
        </is>
      </c>
      <c r="C11" s="3" t="inlineStr">
        <is>
          <t>Dashboard UI</t>
        </is>
      </c>
      <c r="D11" s="3" t="inlineStr">
        <is>
          <t>At Risk</t>
        </is>
      </c>
      <c r="E11" s="3" t="inlineStr">
        <is>
          <t>Chart components built</t>
        </is>
      </c>
      <c r="F11" s="3" t="inlineStr"/>
      <c r="G11" s="3" t="n">
        <v>10</v>
      </c>
    </row>
    <row r="12">
      <c r="A12" s="4" t="n">
        <v>46139</v>
      </c>
      <c r="B12" s="3" t="inlineStr">
        <is>
          <t>Alex</t>
        </is>
      </c>
      <c r="C12" s="3" t="inlineStr">
        <is>
          <t>Dashboard UI</t>
        </is>
      </c>
      <c r="D12" s="3" t="inlineStr">
        <is>
          <t>At Risk</t>
        </is>
      </c>
      <c r="E12" s="3" t="inlineStr">
        <is>
          <t>Filter panel done</t>
        </is>
      </c>
      <c r="F12" s="3" t="inlineStr"/>
      <c r="G12" s="3" t="n">
        <v>12</v>
      </c>
    </row>
    <row r="13">
      <c r="A13" s="4" t="n">
        <v>46146</v>
      </c>
      <c r="B13" s="3" t="inlineStr">
        <is>
          <t>Alex</t>
        </is>
      </c>
      <c r="C13" s="3" t="inlineStr">
        <is>
          <t>Dashboard UI</t>
        </is>
      </c>
      <c r="D13" s="3" t="inlineStr">
        <is>
          <t>At Risk</t>
        </is>
      </c>
      <c r="E13" s="3" t="inlineStr">
        <is>
          <t>Data binding complete</t>
        </is>
      </c>
      <c r="F13" s="3" t="inlineStr"/>
      <c r="G13" s="3" t="n">
        <v>12</v>
      </c>
    </row>
    <row r="14">
      <c r="A14" s="4" t="n">
        <v>46153</v>
      </c>
      <c r="B14" s="3" t="inlineStr">
        <is>
          <t>Alex</t>
        </is>
      </c>
      <c r="C14" s="3" t="inlineStr">
        <is>
          <t>Dashboard UI</t>
        </is>
      </c>
      <c r="D14" s="3" t="inlineStr">
        <is>
          <t>At Risk</t>
        </is>
      </c>
      <c r="E14" s="3" t="inlineStr">
        <is>
          <t>Started user testing</t>
        </is>
      </c>
      <c r="F14" s="3" t="inlineStr"/>
      <c r="G14" s="3" t="n">
        <v>15</v>
      </c>
    </row>
    <row r="15">
      <c r="A15" s="4" t="n">
        <v>46104</v>
      </c>
      <c r="B15" s="3" t="inlineStr">
        <is>
          <t>Srikanth</t>
        </is>
      </c>
      <c r="C15" s="3" t="inlineStr">
        <is>
          <t>API Gateway Build</t>
        </is>
      </c>
      <c r="D15" s="3" t="inlineStr">
        <is>
          <t>On Track</t>
        </is>
      </c>
      <c r="E15" s="3" t="inlineStr">
        <is>
          <t>Route config done</t>
        </is>
      </c>
      <c r="F15" s="3" t="inlineStr"/>
      <c r="G15" s="3" t="n">
        <v>20</v>
      </c>
    </row>
    <row r="16">
      <c r="A16" s="4" t="n">
        <v>46111</v>
      </c>
      <c r="B16" s="3" t="inlineStr">
        <is>
          <t>Srikanth</t>
        </is>
      </c>
      <c r="C16" s="3" t="inlineStr">
        <is>
          <t>API Gateway Build</t>
        </is>
      </c>
      <c r="D16" s="3" t="inlineStr">
        <is>
          <t>On Track</t>
        </is>
      </c>
      <c r="E16" s="3" t="inlineStr">
        <is>
          <t>Auth middleware started</t>
        </is>
      </c>
      <c r="F16" s="3" t="inlineStr"/>
      <c r="G16" s="3" t="n">
        <v>22</v>
      </c>
    </row>
    <row r="17">
      <c r="A17" s="4" t="n">
        <v>46118</v>
      </c>
      <c r="B17" s="3" t="inlineStr">
        <is>
          <t>Srikanth</t>
        </is>
      </c>
      <c r="C17" s="3" t="inlineStr">
        <is>
          <t>API Gateway Build</t>
        </is>
      </c>
      <c r="D17" s="3" t="inlineStr">
        <is>
          <t>On Track</t>
        </is>
      </c>
      <c r="E17" s="3" t="inlineStr">
        <is>
          <t>Rate limiter built</t>
        </is>
      </c>
      <c r="F17" s="3" t="inlineStr"/>
      <c r="G17" s="3" t="n">
        <v>18</v>
      </c>
    </row>
    <row r="18">
      <c r="A18" s="4" t="n">
        <v>46125</v>
      </c>
      <c r="B18" s="3" t="inlineStr">
        <is>
          <t>Srikanth</t>
        </is>
      </c>
      <c r="C18" s="3" t="inlineStr">
        <is>
          <t>API Gateway Build</t>
        </is>
      </c>
      <c r="D18" s="3" t="inlineStr">
        <is>
          <t>On Track</t>
        </is>
      </c>
      <c r="E18" s="3" t="inlineStr">
        <is>
          <t>Integration tests</t>
        </is>
      </c>
      <c r="F18" s="3" t="inlineStr"/>
      <c r="G18" s="3" t="n">
        <v>15</v>
      </c>
    </row>
    <row r="19">
      <c r="A19" s="4" t="n">
        <v>46132</v>
      </c>
      <c r="B19" s="3" t="inlineStr">
        <is>
          <t>Srikanth</t>
        </is>
      </c>
      <c r="C19" s="3" t="inlineStr">
        <is>
          <t>API Gateway Build</t>
        </is>
      </c>
      <c r="D19" s="3" t="inlineStr">
        <is>
          <t>On Track</t>
        </is>
      </c>
      <c r="E19" s="3" t="inlineStr">
        <is>
          <t>Load testing prep</t>
        </is>
      </c>
      <c r="F19" s="3" t="inlineStr"/>
      <c r="G19" s="3" t="n">
        <v>12</v>
      </c>
    </row>
    <row r="20">
      <c r="A20" s="4" t="n">
        <v>46139</v>
      </c>
      <c r="B20" s="3" t="inlineStr">
        <is>
          <t>Srikanth</t>
        </is>
      </c>
      <c r="C20" s="3" t="inlineStr">
        <is>
          <t>API Gateway Build</t>
        </is>
      </c>
      <c r="D20" s="3" t="inlineStr">
        <is>
          <t>On Track</t>
        </is>
      </c>
      <c r="E20" s="3" t="inlineStr">
        <is>
          <t>API docs written</t>
        </is>
      </c>
      <c r="F20" s="3" t="inlineStr"/>
      <c r="G20" s="3" t="n">
        <v>10</v>
      </c>
    </row>
    <row r="21">
      <c r="A21" s="4" t="n">
        <v>46146</v>
      </c>
      <c r="B21" s="3" t="inlineStr">
        <is>
          <t>Srikanth</t>
        </is>
      </c>
      <c r="C21" s="3" t="inlineStr">
        <is>
          <t>API Gateway Build</t>
        </is>
      </c>
      <c r="D21" s="3" t="inlineStr">
        <is>
          <t>On Track</t>
        </is>
      </c>
      <c r="E21" s="3" t="inlineStr">
        <is>
          <t>Staging deploy</t>
        </is>
      </c>
      <c r="F21" s="3" t="inlineStr"/>
      <c r="G21" s="3" t="n">
        <v>8</v>
      </c>
    </row>
    <row r="22">
      <c r="A22" s="4" t="n">
        <v>46153</v>
      </c>
      <c r="B22" s="3" t="inlineStr">
        <is>
          <t>Srikanth</t>
        </is>
      </c>
      <c r="C22" s="3" t="inlineStr">
        <is>
          <t>API Gateway Build</t>
        </is>
      </c>
      <c r="D22" s="3" t="inlineStr">
        <is>
          <t>On Track</t>
        </is>
      </c>
      <c r="E22" s="3" t="inlineStr">
        <is>
          <t>Load testing started</t>
        </is>
      </c>
      <c r="F22" s="3" t="inlineStr"/>
      <c r="G22" s="3" t="n">
        <v>5</v>
      </c>
    </row>
    <row r="23">
      <c r="A23" s="4" t="n">
        <v>46104</v>
      </c>
      <c r="B23" s="3" t="inlineStr">
        <is>
          <t>Srikanth</t>
        </is>
      </c>
      <c r="C23" s="3" t="inlineStr">
        <is>
          <t>Auth Module</t>
        </is>
      </c>
      <c r="D23" s="3" t="inlineStr">
        <is>
          <t>On Track</t>
        </is>
      </c>
      <c r="E23" s="3" t="inlineStr">
        <is>
          <t>OIDC research</t>
        </is>
      </c>
      <c r="F23" s="3" t="inlineStr"/>
      <c r="G23" s="3" t="n">
        <v>15</v>
      </c>
    </row>
    <row r="24">
      <c r="A24" s="4" t="n">
        <v>46111</v>
      </c>
      <c r="B24" s="3" t="inlineStr">
        <is>
          <t>Srikanth</t>
        </is>
      </c>
      <c r="C24" s="3" t="inlineStr">
        <is>
          <t>Auth Module</t>
        </is>
      </c>
      <c r="D24" s="3" t="inlineStr">
        <is>
          <t>On Track</t>
        </is>
      </c>
      <c r="E24" s="3" t="inlineStr">
        <is>
          <t>Provider setup</t>
        </is>
      </c>
      <c r="F24" s="3" t="inlineStr"/>
      <c r="G24" s="3" t="n">
        <v>18</v>
      </c>
    </row>
    <row r="25">
      <c r="A25" s="4" t="n">
        <v>46118</v>
      </c>
      <c r="B25" s="3" t="inlineStr">
        <is>
          <t>Srikanth</t>
        </is>
      </c>
      <c r="C25" s="3" t="inlineStr">
        <is>
          <t>Auth Module</t>
        </is>
      </c>
      <c r="D25" s="3" t="inlineStr">
        <is>
          <t>On Track</t>
        </is>
      </c>
      <c r="E25" s="3" t="inlineStr">
        <is>
          <t>Token flow built</t>
        </is>
      </c>
      <c r="F25" s="3" t="inlineStr"/>
      <c r="G25" s="3" t="n">
        <v>20</v>
      </c>
    </row>
    <row r="26">
      <c r="A26" s="4" t="n">
        <v>46125</v>
      </c>
      <c r="B26" s="3" t="inlineStr">
        <is>
          <t>Srikanth</t>
        </is>
      </c>
      <c r="C26" s="3" t="inlineStr">
        <is>
          <t>Auth Module</t>
        </is>
      </c>
      <c r="D26" s="3" t="inlineStr">
        <is>
          <t>At Risk</t>
        </is>
      </c>
      <c r="E26" s="3" t="inlineStr">
        <is>
          <t>OIDC integration issues</t>
        </is>
      </c>
      <c r="F26" s="3" t="inlineStr">
        <is>
          <t>Vendor delay</t>
        </is>
      </c>
      <c r="G26" s="3" t="n">
        <v>22</v>
      </c>
    </row>
    <row r="27">
      <c r="A27" s="4" t="n">
        <v>46132</v>
      </c>
      <c r="B27" s="3" t="inlineStr">
        <is>
          <t>Srikanth</t>
        </is>
      </c>
      <c r="C27" s="3" t="inlineStr">
        <is>
          <t>Auth Module</t>
        </is>
      </c>
      <c r="D27" s="3" t="inlineStr">
        <is>
          <t>At Risk</t>
        </is>
      </c>
      <c r="E27" s="3" t="inlineStr">
        <is>
          <t>Vendor delay on certs</t>
        </is>
      </c>
      <c r="F27" s="3" t="inlineStr">
        <is>
          <t>Vendor delay</t>
        </is>
      </c>
      <c r="G27" s="3" t="n">
        <v>25</v>
      </c>
    </row>
    <row r="28">
      <c r="A28" s="4" t="n">
        <v>46139</v>
      </c>
      <c r="B28" s="3" t="inlineStr">
        <is>
          <t>Srikanth</t>
        </is>
      </c>
      <c r="C28" s="3" t="inlineStr">
        <is>
          <t>Auth Module</t>
        </is>
      </c>
      <c r="D28" s="3" t="inlineStr">
        <is>
          <t>At Risk</t>
        </is>
      </c>
      <c r="E28" s="3" t="inlineStr">
        <is>
          <t>Workaround in progress</t>
        </is>
      </c>
      <c r="F28" s="3" t="inlineStr">
        <is>
          <t>Vendor delay</t>
        </is>
      </c>
      <c r="G28" s="3" t="n">
        <v>25</v>
      </c>
    </row>
    <row r="29">
      <c r="A29" s="4" t="n">
        <v>46146</v>
      </c>
      <c r="B29" s="3" t="inlineStr">
        <is>
          <t>Srikanth</t>
        </is>
      </c>
      <c r="C29" s="3" t="inlineStr">
        <is>
          <t>Auth Module</t>
        </is>
      </c>
      <c r="D29" s="3" t="inlineStr">
        <is>
          <t>At Risk</t>
        </is>
      </c>
      <c r="E29" s="3" t="inlineStr">
        <is>
          <t>Partial integration done</t>
        </is>
      </c>
      <c r="F29" s="3" t="inlineStr">
        <is>
          <t>Vendor delay</t>
        </is>
      </c>
      <c r="G29" s="3" t="n">
        <v>28</v>
      </c>
    </row>
    <row r="30">
      <c r="A30" s="4" t="n">
        <v>46153</v>
      </c>
      <c r="B30" s="3" t="inlineStr">
        <is>
          <t>Srikanth</t>
        </is>
      </c>
      <c r="C30" s="3" t="inlineStr">
        <is>
          <t>Auth Module</t>
        </is>
      </c>
      <c r="D30" s="3" t="inlineStr">
        <is>
          <t>At Risk</t>
        </is>
      </c>
      <c r="E30" s="3" t="inlineStr">
        <is>
          <t>Blocked on vendor</t>
        </is>
      </c>
      <c r="F30" s="3" t="inlineStr">
        <is>
          <t>Vendor delay</t>
        </is>
      </c>
      <c r="G30" s="3" t="n">
        <v>30</v>
      </c>
    </row>
    <row r="31">
      <c r="A31" s="4" t="n">
        <v>46104</v>
      </c>
      <c r="B31" s="3" t="inlineStr">
        <is>
          <t>Enith</t>
        </is>
      </c>
      <c r="C31" s="3" t="inlineStr">
        <is>
          <t>Data Migration</t>
        </is>
      </c>
      <c r="D31" s="3" t="inlineStr">
        <is>
          <t>On Track</t>
        </is>
      </c>
      <c r="E31" s="3" t="inlineStr">
        <is>
          <t>Schema mapping done</t>
        </is>
      </c>
      <c r="F31" s="3" t="inlineStr"/>
      <c r="G31" s="3" t="n">
        <v>35</v>
      </c>
    </row>
    <row r="32">
      <c r="A32" s="4" t="n">
        <v>46111</v>
      </c>
      <c r="B32" s="3" t="inlineStr">
        <is>
          <t>Enith</t>
        </is>
      </c>
      <c r="C32" s="3" t="inlineStr">
        <is>
          <t>Data Migration</t>
        </is>
      </c>
      <c r="D32" s="3" t="inlineStr">
        <is>
          <t>On Track</t>
        </is>
      </c>
      <c r="E32" s="3" t="inlineStr">
        <is>
          <t>ETL scripts written</t>
        </is>
      </c>
      <c r="F32" s="3" t="inlineStr"/>
      <c r="G32" s="3" t="n">
        <v>32</v>
      </c>
    </row>
    <row r="33">
      <c r="A33" s="4" t="n">
        <v>46118</v>
      </c>
      <c r="B33" s="3" t="inlineStr">
        <is>
          <t>Enith</t>
        </is>
      </c>
      <c r="C33" s="3" t="inlineStr">
        <is>
          <t>Data Migration</t>
        </is>
      </c>
      <c r="D33" s="3" t="inlineStr">
        <is>
          <t>On Track</t>
        </is>
      </c>
      <c r="E33" s="3" t="inlineStr">
        <is>
          <t>Test migration run</t>
        </is>
      </c>
      <c r="F33" s="3" t="inlineStr"/>
      <c r="G33" s="3" t="n">
        <v>30</v>
      </c>
    </row>
    <row r="34">
      <c r="A34" s="4" t="n">
        <v>46125</v>
      </c>
      <c r="B34" s="3" t="inlineStr">
        <is>
          <t>Enith</t>
        </is>
      </c>
      <c r="C34" s="3" t="inlineStr">
        <is>
          <t>Data Migration</t>
        </is>
      </c>
      <c r="D34" s="3" t="inlineStr">
        <is>
          <t>On Track</t>
        </is>
      </c>
      <c r="E34" s="3" t="inlineStr">
        <is>
          <t>Data validation</t>
        </is>
      </c>
      <c r="F34" s="3" t="inlineStr"/>
      <c r="G34" s="3" t="n">
        <v>25</v>
      </c>
    </row>
    <row r="35">
      <c r="A35" s="4" t="n">
        <v>46132</v>
      </c>
      <c r="B35" s="3" t="inlineStr">
        <is>
          <t>Enith</t>
        </is>
      </c>
      <c r="C35" s="3" t="inlineStr">
        <is>
          <t>Data Migration</t>
        </is>
      </c>
      <c r="D35" s="3" t="inlineStr">
        <is>
          <t>On Track</t>
        </is>
      </c>
      <c r="E35" s="3" t="inlineStr">
        <is>
          <t>Final migration</t>
        </is>
      </c>
      <c r="F35" s="3" t="inlineStr"/>
      <c r="G35" s="3" t="n">
        <v>10</v>
      </c>
    </row>
    <row r="36">
      <c r="A36" s="4" t="n">
        <v>46139</v>
      </c>
      <c r="B36" s="3" t="inlineStr">
        <is>
          <t>Enith</t>
        </is>
      </c>
      <c r="C36" s="3" t="inlineStr">
        <is>
          <t>Data Migration</t>
        </is>
      </c>
      <c r="D36" s="3" t="inlineStr">
        <is>
          <t>Closed</t>
        </is>
      </c>
      <c r="E36" s="3" t="inlineStr">
        <is>
          <t>Cutover complete</t>
        </is>
      </c>
      <c r="F36" s="3" t="inlineStr"/>
      <c r="G36" s="3" t="n">
        <v>5</v>
      </c>
    </row>
    <row r="37">
      <c r="A37" s="4" t="n">
        <v>46111</v>
      </c>
      <c r="B37" s="3" t="inlineStr">
        <is>
          <t>Enith</t>
        </is>
      </c>
      <c r="C37" s="3" t="inlineStr">
        <is>
          <t>Dashboard UI</t>
        </is>
      </c>
      <c r="D37" s="3" t="inlineStr">
        <is>
          <t>On Track</t>
        </is>
      </c>
      <c r="E37" s="3" t="inlineStr"/>
      <c r="F37" s="3" t="inlineStr"/>
      <c r="G37" s="3" t="n">
        <v>5</v>
      </c>
    </row>
    <row r="38">
      <c r="A38" s="4" t="n">
        <v>46118</v>
      </c>
      <c r="B38" s="3" t="inlineStr">
        <is>
          <t>Enith</t>
        </is>
      </c>
      <c r="C38" s="3" t="inlineStr">
        <is>
          <t>Dashboard UI</t>
        </is>
      </c>
      <c r="D38" s="3" t="inlineStr">
        <is>
          <t>On Track</t>
        </is>
      </c>
      <c r="E38" s="3" t="inlineStr"/>
      <c r="F38" s="3" t="inlineStr"/>
      <c r="G38" s="3" t="n">
        <v>8</v>
      </c>
    </row>
    <row r="39">
      <c r="A39" s="4" t="n">
        <v>46125</v>
      </c>
      <c r="B39" s="3" t="inlineStr">
        <is>
          <t>Enith</t>
        </is>
      </c>
      <c r="C39" s="3" t="inlineStr">
        <is>
          <t>Dashboard UI</t>
        </is>
      </c>
      <c r="D39" s="3" t="inlineStr">
        <is>
          <t>On Track</t>
        </is>
      </c>
      <c r="E39" s="3" t="inlineStr">
        <is>
          <t>Initial wireframes</t>
        </is>
      </c>
      <c r="F39" s="3" t="inlineStr"/>
      <c r="G39" s="3" t="n">
        <v>12</v>
      </c>
    </row>
    <row r="40">
      <c r="A40" s="4" t="n">
        <v>46132</v>
      </c>
      <c r="B40" s="3" t="inlineStr">
        <is>
          <t>Enith</t>
        </is>
      </c>
      <c r="C40" s="3" t="inlineStr">
        <is>
          <t>Dashboard UI</t>
        </is>
      </c>
      <c r="D40" s="3" t="inlineStr">
        <is>
          <t>At Risk</t>
        </is>
      </c>
      <c r="E40" s="3" t="inlineStr">
        <is>
          <t>Chart components built</t>
        </is>
      </c>
      <c r="F40" s="3" t="inlineStr"/>
      <c r="G40" s="3" t="n">
        <v>25</v>
      </c>
    </row>
    <row r="41">
      <c r="A41" s="4" t="n">
        <v>46139</v>
      </c>
      <c r="B41" s="3" t="inlineStr">
        <is>
          <t>Enith</t>
        </is>
      </c>
      <c r="C41" s="3" t="inlineStr">
        <is>
          <t>Dashboard UI</t>
        </is>
      </c>
      <c r="D41" s="3" t="inlineStr">
        <is>
          <t>At Risk</t>
        </is>
      </c>
      <c r="E41" s="3" t="inlineStr">
        <is>
          <t>Filter panel done</t>
        </is>
      </c>
      <c r="F41" s="3" t="inlineStr"/>
      <c r="G41" s="3" t="n">
        <v>30</v>
      </c>
    </row>
    <row r="42">
      <c r="A42" s="4" t="n">
        <v>46146</v>
      </c>
      <c r="B42" s="3" t="inlineStr">
        <is>
          <t>Enith</t>
        </is>
      </c>
      <c r="C42" s="3" t="inlineStr">
        <is>
          <t>Dashboard UI</t>
        </is>
      </c>
      <c r="D42" s="3" t="inlineStr">
        <is>
          <t>At Risk</t>
        </is>
      </c>
      <c r="E42" s="3" t="inlineStr">
        <is>
          <t>Data binding complete</t>
        </is>
      </c>
      <c r="F42" s="3" t="inlineStr"/>
      <c r="G42" s="3" t="n">
        <v>32</v>
      </c>
    </row>
    <row r="43">
      <c r="A43" s="4" t="n">
        <v>46153</v>
      </c>
      <c r="B43" s="3" t="inlineStr">
        <is>
          <t>Enith</t>
        </is>
      </c>
      <c r="C43" s="3" t="inlineStr">
        <is>
          <t>Dashboard UI</t>
        </is>
      </c>
      <c r="D43" s="3" t="inlineStr">
        <is>
          <t>At Risk</t>
        </is>
      </c>
      <c r="E43" s="3" t="inlineStr">
        <is>
          <t>Started user testing</t>
        </is>
      </c>
      <c r="F43" s="3" t="inlineStr"/>
      <c r="G43" s="3" t="n">
        <v>35</v>
      </c>
    </row>
    <row r="44">
      <c r="A44" s="4" t="n"/>
      <c r="B44" s="3" t="n"/>
      <c r="C44" s="3" t="n"/>
      <c r="D44" s="3" t="n"/>
      <c r="E44" s="3" t="n"/>
      <c r="F44" s="3" t="n"/>
      <c r="G44" s="3" t="n"/>
    </row>
    <row r="45">
      <c r="A45" s="4" t="n"/>
      <c r="B45" s="3" t="n"/>
      <c r="C45" s="3" t="n"/>
      <c r="D45" s="3" t="n"/>
      <c r="E45" s="3" t="n"/>
      <c r="F45" s="3" t="n"/>
      <c r="G45" s="3" t="n"/>
    </row>
    <row r="46">
      <c r="A46" s="4" t="n"/>
      <c r="B46" s="3" t="n"/>
      <c r="C46" s="3" t="n"/>
      <c r="D46" s="3" t="n"/>
      <c r="E46" s="3" t="n"/>
      <c r="F46" s="3" t="n"/>
      <c r="G46" s="3" t="n"/>
    </row>
    <row r="47">
      <c r="A47" s="4" t="n"/>
      <c r="B47" s="3" t="n"/>
      <c r="C47" s="3" t="n"/>
      <c r="D47" s="3" t="n"/>
      <c r="E47" s="3" t="n"/>
      <c r="F47" s="3" t="n"/>
      <c r="G47" s="3" t="n"/>
    </row>
    <row r="48">
      <c r="A48" s="4" t="n"/>
      <c r="B48" s="3" t="n"/>
      <c r="C48" s="3" t="n"/>
      <c r="D48" s="3" t="n"/>
      <c r="E48" s="3" t="n"/>
      <c r="F48" s="3" t="n"/>
      <c r="G48" s="3" t="n"/>
    </row>
    <row r="49">
      <c r="A49" s="4" t="n"/>
      <c r="B49" s="3" t="n"/>
      <c r="C49" s="3" t="n"/>
      <c r="D49" s="3" t="n"/>
      <c r="E49" s="3" t="n"/>
      <c r="F49" s="3" t="n"/>
      <c r="G49" s="3" t="n"/>
    </row>
    <row r="50">
      <c r="A50" s="4" t="n"/>
      <c r="B50" s="3" t="n"/>
      <c r="C50" s="3" t="n"/>
      <c r="D50" s="3" t="n"/>
      <c r="E50" s="3" t="n"/>
      <c r="F50" s="3" t="n"/>
      <c r="G50" s="3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</sheetData>
  <dataValidations count="4">
    <dataValidation sqref="B2:B501" showDropDown="0" showInputMessage="0" showErrorMessage="1" allowBlank="0" errorTitle="Invalid Member" error="Select a team member from the dropdown." type="list">
      <formula1>"Alex,Srikanth,Enith"</formula1>
    </dataValidation>
    <dataValidation sqref="C2:C501" showDropDown="0" showInputMessage="0" showErrorMessage="1" allowBlank="0" errorTitle="Invalid Task" error="Select a task from the dropdown." type="list">
      <formula1>=Tasks!$B$2:$B$51</formula1>
    </dataValidation>
    <dataValidation sqref="D2:D501" showDropDown="0" showInputMessage="0" showErrorMessage="1" allowBlank="0" errorTitle="Invalid Status" error="Select a status from the dropdown." type="list">
      <formula1>"On Track,At Risk,Blocked,Closed"</formula1>
    </dataValidation>
    <dataValidation sqref="G2:G501" showDropDown="0" showInputMessage="0" showErrorMessage="1" allowBlank="0" errorTitle="Invalid Hours" error="Hours must be between 0 and 80." type="whole" operator="between">
      <formula1>0</formula1>
      <formula2>80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D6B20"/>
    <outlinePr summaryBelow="1" summaryRight="1"/>
    <pageSetUpPr/>
  </sheetPr>
  <dimension ref="A1:D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17" customWidth="1" min="4" max="4"/>
  </cols>
  <sheetData>
    <row r="1">
      <c r="A1" s="1" t="inlineStr">
        <is>
          <t>Week Starting</t>
        </is>
      </c>
      <c r="B1" s="1" t="inlineStr">
        <is>
          <t>Team Member</t>
        </is>
      </c>
      <c r="C1" s="1" t="inlineStr">
        <is>
          <t>Task</t>
        </is>
      </c>
      <c r="D1" s="1" t="inlineStr">
        <is>
          <t>Planned Hours</t>
        </is>
      </c>
    </row>
    <row r="2">
      <c r="A2" s="4" t="n">
        <v>46160</v>
      </c>
      <c r="B2" s="3" t="inlineStr">
        <is>
          <t>Alex</t>
        </is>
      </c>
      <c r="C2" s="3" t="inlineStr">
        <is>
          <t>API Gateway Build</t>
        </is>
      </c>
      <c r="D2" s="3" t="n">
        <v>15</v>
      </c>
    </row>
    <row r="3">
      <c r="A3" s="4" t="n">
        <v>46167</v>
      </c>
      <c r="B3" s="3" t="inlineStr">
        <is>
          <t>Alex</t>
        </is>
      </c>
      <c r="C3" s="3" t="inlineStr">
        <is>
          <t>API Gateway Build</t>
        </is>
      </c>
      <c r="D3" s="3" t="n">
        <v>10</v>
      </c>
    </row>
    <row r="4">
      <c r="A4" s="4" t="n">
        <v>46174</v>
      </c>
      <c r="B4" s="3" t="inlineStr">
        <is>
          <t>Alex</t>
        </is>
      </c>
      <c r="C4" s="3" t="inlineStr">
        <is>
          <t>API Gateway Build</t>
        </is>
      </c>
      <c r="D4" s="3" t="n">
        <v>5</v>
      </c>
    </row>
    <row r="5">
      <c r="A5" s="4" t="n">
        <v>46160</v>
      </c>
      <c r="B5" s="3" t="inlineStr">
        <is>
          <t>Alex</t>
        </is>
      </c>
      <c r="C5" s="3" t="inlineStr">
        <is>
          <t>Dashboard UI</t>
        </is>
      </c>
      <c r="D5" s="3" t="n">
        <v>20</v>
      </c>
    </row>
    <row r="6">
      <c r="A6" s="4" t="n">
        <v>46167</v>
      </c>
      <c r="B6" s="3" t="inlineStr">
        <is>
          <t>Alex</t>
        </is>
      </c>
      <c r="C6" s="3" t="inlineStr">
        <is>
          <t>Dashboard UI</t>
        </is>
      </c>
      <c r="D6" s="3" t="n">
        <v>20</v>
      </c>
    </row>
    <row r="7">
      <c r="A7" s="4" t="n">
        <v>46174</v>
      </c>
      <c r="B7" s="3" t="inlineStr">
        <is>
          <t>Alex</t>
        </is>
      </c>
      <c r="C7" s="3" t="inlineStr">
        <is>
          <t>Dashboard UI</t>
        </is>
      </c>
      <c r="D7" s="3" t="n">
        <v>25</v>
      </c>
    </row>
    <row r="8">
      <c r="A8" s="4" t="n">
        <v>46181</v>
      </c>
      <c r="B8" s="3" t="inlineStr">
        <is>
          <t>Alex</t>
        </is>
      </c>
      <c r="C8" s="3" t="inlineStr">
        <is>
          <t>Dashboard UI</t>
        </is>
      </c>
      <c r="D8" s="3" t="n">
        <v>25</v>
      </c>
    </row>
    <row r="9">
      <c r="A9" s="4" t="n">
        <v>46167</v>
      </c>
      <c r="B9" s="3" t="inlineStr">
        <is>
          <t>Alex</t>
        </is>
      </c>
      <c r="C9" s="3" t="inlineStr">
        <is>
          <t>Perf Testing</t>
        </is>
      </c>
      <c r="D9" s="3" t="n">
        <v>5</v>
      </c>
    </row>
    <row r="10">
      <c r="A10" s="4" t="n">
        <v>46174</v>
      </c>
      <c r="B10" s="3" t="inlineStr">
        <is>
          <t>Alex</t>
        </is>
      </c>
      <c r="C10" s="3" t="inlineStr">
        <is>
          <t>Perf Testing</t>
        </is>
      </c>
      <c r="D10" s="3" t="n">
        <v>10</v>
      </c>
    </row>
    <row r="11">
      <c r="A11" s="4" t="n">
        <v>46181</v>
      </c>
      <c r="B11" s="3" t="inlineStr">
        <is>
          <t>Alex</t>
        </is>
      </c>
      <c r="C11" s="3" t="inlineStr">
        <is>
          <t>Perf Testing</t>
        </is>
      </c>
      <c r="D11" s="3" t="n">
        <v>15</v>
      </c>
    </row>
    <row r="12">
      <c r="A12" s="4" t="n">
        <v>46160</v>
      </c>
      <c r="B12" s="3" t="inlineStr">
        <is>
          <t>Srikanth</t>
        </is>
      </c>
      <c r="C12" s="3" t="inlineStr">
        <is>
          <t>API Gateway Build</t>
        </is>
      </c>
      <c r="D12" s="3" t="n">
        <v>5</v>
      </c>
    </row>
    <row r="13">
      <c r="A13" s="4" t="n">
        <v>46167</v>
      </c>
      <c r="B13" s="3" t="inlineStr">
        <is>
          <t>Srikanth</t>
        </is>
      </c>
      <c r="C13" s="3" t="inlineStr">
        <is>
          <t>API Gateway Build</t>
        </is>
      </c>
      <c r="D13" s="3" t="n">
        <v>5</v>
      </c>
    </row>
    <row r="14">
      <c r="A14" s="4" t="n">
        <v>46160</v>
      </c>
      <c r="B14" s="3" t="inlineStr">
        <is>
          <t>Srikanth</t>
        </is>
      </c>
      <c r="C14" s="3" t="inlineStr">
        <is>
          <t>Auth Module</t>
        </is>
      </c>
      <c r="D14" s="3" t="n">
        <v>30</v>
      </c>
    </row>
    <row r="15">
      <c r="A15" s="4" t="n">
        <v>46167</v>
      </c>
      <c r="B15" s="3" t="inlineStr">
        <is>
          <t>Srikanth</t>
        </is>
      </c>
      <c r="C15" s="3" t="inlineStr">
        <is>
          <t>Auth Module</t>
        </is>
      </c>
      <c r="D15" s="3" t="n">
        <v>25</v>
      </c>
    </row>
    <row r="16">
      <c r="A16" s="4" t="n">
        <v>46174</v>
      </c>
      <c r="B16" s="3" t="inlineStr">
        <is>
          <t>Srikanth</t>
        </is>
      </c>
      <c r="C16" s="3" t="inlineStr">
        <is>
          <t>Auth Module</t>
        </is>
      </c>
      <c r="D16" s="3" t="n">
        <v>15</v>
      </c>
    </row>
    <row r="17">
      <c r="A17" s="4" t="n">
        <v>46181</v>
      </c>
      <c r="B17" s="3" t="inlineStr">
        <is>
          <t>Srikanth</t>
        </is>
      </c>
      <c r="C17" s="3" t="inlineStr">
        <is>
          <t>Auth Module</t>
        </is>
      </c>
      <c r="D17" s="3" t="n">
        <v>10</v>
      </c>
    </row>
    <row r="18">
      <c r="A18" s="4" t="n">
        <v>46167</v>
      </c>
      <c r="B18" s="3" t="inlineStr">
        <is>
          <t>Srikanth</t>
        </is>
      </c>
      <c r="C18" s="3" t="inlineStr">
        <is>
          <t>Perf Testing</t>
        </is>
      </c>
      <c r="D18" s="3" t="n">
        <v>10</v>
      </c>
    </row>
    <row r="19">
      <c r="A19" s="4" t="n">
        <v>46174</v>
      </c>
      <c r="B19" s="3" t="inlineStr">
        <is>
          <t>Srikanth</t>
        </is>
      </c>
      <c r="C19" s="3" t="inlineStr">
        <is>
          <t>Perf Testing</t>
        </is>
      </c>
      <c r="D19" s="3" t="n">
        <v>20</v>
      </c>
    </row>
    <row r="20">
      <c r="A20" s="4" t="n">
        <v>46181</v>
      </c>
      <c r="B20" s="3" t="inlineStr">
        <is>
          <t>Srikanth</t>
        </is>
      </c>
      <c r="C20" s="3" t="inlineStr">
        <is>
          <t>Perf Testing</t>
        </is>
      </c>
      <c r="D20" s="3" t="n">
        <v>25</v>
      </c>
    </row>
    <row r="21">
      <c r="A21" s="4" t="n">
        <v>46160</v>
      </c>
      <c r="B21" s="3" t="inlineStr">
        <is>
          <t>Enith</t>
        </is>
      </c>
      <c r="C21" s="3" t="inlineStr">
        <is>
          <t>Dashboard UI</t>
        </is>
      </c>
      <c r="D21" s="3" t="n">
        <v>30</v>
      </c>
    </row>
    <row r="22">
      <c r="A22" s="4" t="n">
        <v>46167</v>
      </c>
      <c r="B22" s="3" t="inlineStr">
        <is>
          <t>Enith</t>
        </is>
      </c>
      <c r="C22" s="3" t="inlineStr">
        <is>
          <t>Dashboard UI</t>
        </is>
      </c>
      <c r="D22" s="3" t="n">
        <v>25</v>
      </c>
    </row>
    <row r="23">
      <c r="A23" s="4" t="n">
        <v>46174</v>
      </c>
      <c r="B23" s="3" t="inlineStr">
        <is>
          <t>Enith</t>
        </is>
      </c>
      <c r="C23" s="3" t="inlineStr">
        <is>
          <t>Dashboard UI</t>
        </is>
      </c>
      <c r="D23" s="3" t="n">
        <v>15</v>
      </c>
    </row>
    <row r="24">
      <c r="A24" s="4" t="n">
        <v>46181</v>
      </c>
      <c r="B24" s="3" t="inlineStr">
        <is>
          <t>Enith</t>
        </is>
      </c>
      <c r="C24" s="3" t="inlineStr">
        <is>
          <t>Dashboard UI</t>
        </is>
      </c>
      <c r="D24" s="3" t="n">
        <v>10</v>
      </c>
    </row>
    <row r="25">
      <c r="A25" s="4" t="n">
        <v>46160</v>
      </c>
      <c r="B25" s="3" t="inlineStr">
        <is>
          <t>Enith</t>
        </is>
      </c>
      <c r="C25" s="3" t="inlineStr">
        <is>
          <t>Perf Testing</t>
        </is>
      </c>
      <c r="D25" s="3" t="n">
        <v>5</v>
      </c>
    </row>
    <row r="26">
      <c r="A26" s="4" t="n">
        <v>46167</v>
      </c>
      <c r="B26" s="3" t="inlineStr">
        <is>
          <t>Enith</t>
        </is>
      </c>
      <c r="C26" s="3" t="inlineStr">
        <is>
          <t>Perf Testing</t>
        </is>
      </c>
      <c r="D26" s="3" t="n">
        <v>10</v>
      </c>
    </row>
    <row r="27">
      <c r="A27" s="4" t="n">
        <v>46174</v>
      </c>
      <c r="B27" s="3" t="inlineStr">
        <is>
          <t>Enith</t>
        </is>
      </c>
      <c r="C27" s="3" t="inlineStr">
        <is>
          <t>Perf Testing</t>
        </is>
      </c>
      <c r="D27" s="3" t="n">
        <v>20</v>
      </c>
    </row>
    <row r="28">
      <c r="A28" s="4" t="n">
        <v>46181</v>
      </c>
      <c r="B28" s="3" t="inlineStr">
        <is>
          <t>Enith</t>
        </is>
      </c>
      <c r="C28" s="3" t="inlineStr">
        <is>
          <t>Perf Testing</t>
        </is>
      </c>
      <c r="D28" s="3" t="n">
        <v>25</v>
      </c>
    </row>
    <row r="29">
      <c r="A29" s="4" t="n"/>
      <c r="B29" s="3" t="n"/>
      <c r="C29" s="3" t="n"/>
      <c r="D29" s="3" t="n"/>
    </row>
    <row r="30">
      <c r="A30" s="4" t="n"/>
      <c r="B30" s="3" t="n"/>
      <c r="C30" s="3" t="n"/>
      <c r="D30" s="3" t="n"/>
    </row>
    <row r="31">
      <c r="A31" s="4" t="n"/>
      <c r="B31" s="3" t="n"/>
      <c r="C31" s="3" t="n"/>
      <c r="D31" s="3" t="n"/>
    </row>
    <row r="32">
      <c r="A32" s="4" t="n"/>
      <c r="B32" s="3" t="n"/>
      <c r="C32" s="3" t="n"/>
      <c r="D32" s="3" t="n"/>
    </row>
    <row r="33">
      <c r="A33" s="4" t="n"/>
      <c r="B33" s="3" t="n"/>
      <c r="C33" s="3" t="n"/>
      <c r="D33" s="3" t="n"/>
    </row>
    <row r="34">
      <c r="A34" s="4" t="n"/>
      <c r="B34" s="3" t="n"/>
      <c r="C34" s="3" t="n"/>
      <c r="D34" s="3" t="n"/>
    </row>
    <row r="35">
      <c r="A35" s="4" t="n"/>
      <c r="B35" s="3" t="n"/>
      <c r="C35" s="3" t="n"/>
      <c r="D35" s="3" t="n"/>
    </row>
    <row r="36">
      <c r="A36" s="4" t="n"/>
      <c r="B36" s="3" t="n"/>
      <c r="C36" s="3" t="n"/>
      <c r="D36" s="3" t="n"/>
    </row>
    <row r="37">
      <c r="A37" s="4" t="n"/>
      <c r="B37" s="3" t="n"/>
      <c r="C37" s="3" t="n"/>
      <c r="D37" s="3" t="n"/>
    </row>
    <row r="38">
      <c r="A38" s="4" t="n"/>
      <c r="B38" s="3" t="n"/>
      <c r="C38" s="3" t="n"/>
      <c r="D38" s="3" t="n"/>
    </row>
    <row r="39">
      <c r="A39" s="4" t="n"/>
      <c r="B39" s="3" t="n"/>
      <c r="C39" s="3" t="n"/>
      <c r="D39" s="3" t="n"/>
    </row>
    <row r="40">
      <c r="A40" s="4" t="n"/>
      <c r="B40" s="3" t="n"/>
      <c r="C40" s="3" t="n"/>
      <c r="D40" s="3" t="n"/>
    </row>
    <row r="41">
      <c r="A41" s="4" t="n"/>
      <c r="B41" s="3" t="n"/>
      <c r="C41" s="3" t="n"/>
      <c r="D41" s="3" t="n"/>
    </row>
    <row r="42">
      <c r="A42" s="4" t="n"/>
      <c r="B42" s="3" t="n"/>
      <c r="C42" s="3" t="n"/>
      <c r="D42" s="3" t="n"/>
    </row>
    <row r="43">
      <c r="A43" s="4" t="n"/>
      <c r="B43" s="3" t="n"/>
      <c r="C43" s="3" t="n"/>
      <c r="D43" s="3" t="n"/>
    </row>
    <row r="44">
      <c r="A44" s="4" t="n"/>
      <c r="B44" s="3" t="n"/>
      <c r="C44" s="3" t="n"/>
      <c r="D44" s="3" t="n"/>
    </row>
    <row r="45">
      <c r="A45" s="4" t="n"/>
      <c r="B45" s="3" t="n"/>
      <c r="C45" s="3" t="n"/>
      <c r="D45" s="3" t="n"/>
    </row>
    <row r="46">
      <c r="A46" s="4" t="n"/>
      <c r="B46" s="3" t="n"/>
      <c r="C46" s="3" t="n"/>
      <c r="D46" s="3" t="n"/>
    </row>
    <row r="47">
      <c r="A47" s="4" t="n"/>
      <c r="B47" s="3" t="n"/>
      <c r="C47" s="3" t="n"/>
      <c r="D47" s="3" t="n"/>
    </row>
    <row r="48">
      <c r="A48" s="4" t="n"/>
      <c r="B48" s="3" t="n"/>
      <c r="C48" s="3" t="n"/>
      <c r="D48" s="3" t="n"/>
    </row>
    <row r="49">
      <c r="A49" s="4" t="n"/>
      <c r="B49" s="3" t="n"/>
      <c r="C49" s="3" t="n"/>
      <c r="D49" s="3" t="n"/>
    </row>
    <row r="50">
      <c r="A50" s="4" t="n"/>
      <c r="B50" s="3" t="n"/>
      <c r="C50" s="3" t="n"/>
      <c r="D50" s="3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</sheetData>
  <dataValidations count="3">
    <dataValidation sqref="B2:B201" showDropDown="0" showInputMessage="0" showErrorMessage="1" allowBlank="0" errorTitle="Invalid Member" error="Select a team member from the dropdown." type="list">
      <formula1>"Alex,Srikanth,Enith"</formula1>
    </dataValidation>
    <dataValidation sqref="C2:C201" showDropDown="0" showInputMessage="0" showErrorMessage="1" allowBlank="0" errorTitle="Invalid Task" error="Select a task from the dropdown." type="list">
      <formula1>=Tasks!$B$2:$B$51</formula1>
    </dataValidation>
    <dataValidation sqref="D2:D201" showDropDown="0" showInputMessage="0" showErrorMessage="1" allowBlank="0" errorTitle="Invalid Hours" error="Planned hours must be between 0 and 60." type="whole" operator="between">
      <formula1>0</formula1>
      <formula2>60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18096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9" customWidth="1" min="4" max="4"/>
  </cols>
  <sheetData>
    <row r="1">
      <c r="A1" s="6" t="inlineStr">
        <is>
          <t>Team Members</t>
        </is>
      </c>
      <c r="B1" s="6" t="inlineStr">
        <is>
          <t>Members</t>
        </is>
      </c>
      <c r="C1" s="6" t="inlineStr">
        <is>
          <t>Task Statuses</t>
        </is>
      </c>
      <c r="D1" s="6" t="inlineStr">
        <is>
          <t>Update Statuses</t>
        </is>
      </c>
    </row>
    <row r="2">
      <c r="A2" t="inlineStr">
        <is>
          <t>Alex</t>
        </is>
      </c>
      <c r="B2" t="inlineStr">
        <is>
          <t>Alex</t>
        </is>
      </c>
      <c r="C2" t="inlineStr">
        <is>
          <t>Not Started</t>
        </is>
      </c>
      <c r="D2" t="inlineStr">
        <is>
          <t>On Track</t>
        </is>
      </c>
    </row>
    <row r="3">
      <c r="A3" t="inlineStr">
        <is>
          <t>Srikanth</t>
        </is>
      </c>
      <c r="B3" t="inlineStr">
        <is>
          <t>Srikanth</t>
        </is>
      </c>
      <c r="C3" t="inlineStr">
        <is>
          <t>In Progress</t>
        </is>
      </c>
      <c r="D3" t="inlineStr">
        <is>
          <t>At Risk</t>
        </is>
      </c>
    </row>
    <row r="4">
      <c r="A4" t="inlineStr">
        <is>
          <t>Enith</t>
        </is>
      </c>
      <c r="B4" t="inlineStr">
        <is>
          <t>Enith</t>
        </is>
      </c>
      <c r="C4" t="inlineStr">
        <is>
          <t>On Track</t>
        </is>
      </c>
      <c r="D4" t="inlineStr">
        <is>
          <t>Blocked</t>
        </is>
      </c>
    </row>
    <row r="5">
      <c r="A5" t="inlineStr">
        <is>
          <t>Alex; Srikanth</t>
        </is>
      </c>
      <c r="C5" t="inlineStr">
        <is>
          <t>At Risk</t>
        </is>
      </c>
      <c r="D5" t="inlineStr">
        <is>
          <t>Closed</t>
        </is>
      </c>
    </row>
    <row r="6">
      <c r="A6" t="inlineStr">
        <is>
          <t>Alex; Enith</t>
        </is>
      </c>
      <c r="C6" t="inlineStr">
        <is>
          <t>Blocked</t>
        </is>
      </c>
    </row>
    <row r="7">
      <c r="A7" t="inlineStr">
        <is>
          <t>Srikanth; Enith</t>
        </is>
      </c>
      <c r="C7" t="inlineStr">
        <is>
          <t>Closed</t>
        </is>
      </c>
    </row>
    <row r="8">
      <c r="A8" t="inlineStr">
        <is>
          <t>Alex; Srikanth; Enith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2026-05-20T01:17:42Z</dcterms:created>
  <dcterms:modified xsi:type="dcterms:W3CDTF">2026-05-20T01:17:42Z</dcterms:modified>
</cp:coreProperties>
</file>